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'ım\Tricot\Production\AW26\PO\"/>
    </mc:Choice>
  </mc:AlternateContent>
  <xr:revisionPtr revIDLastSave="0" documentId="13_ncr:1_{ED6B9EBE-2C42-4472-B4DD-15B8E99C8F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Print_Area" localSheetId="0">Blad1!$A$1:$U$44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S43" i="1" s="1"/>
</calcChain>
</file>

<file path=xl/sharedStrings.xml><?xml version="1.0" encoding="utf-8"?>
<sst xmlns="http://schemas.openxmlformats.org/spreadsheetml/2006/main" count="97" uniqueCount="63">
  <si>
    <t>Tricot Company B.V.</t>
  </si>
  <si>
    <t>Supplier:</t>
  </si>
  <si>
    <t>Supplier no.</t>
  </si>
  <si>
    <t xml:space="preserve">Season : </t>
  </si>
  <si>
    <t>Production purchase order</t>
  </si>
  <si>
    <t xml:space="preserve">Label: </t>
  </si>
  <si>
    <t>Invoice address:</t>
  </si>
  <si>
    <t>Delivery address:</t>
  </si>
  <si>
    <t xml:space="preserve">De Nederlandse </t>
  </si>
  <si>
    <t>Size range:</t>
  </si>
  <si>
    <t>Melbournestraat 3/ 1hg</t>
  </si>
  <si>
    <t>Edisonstraat 78</t>
  </si>
  <si>
    <t>S</t>
  </si>
  <si>
    <t>M</t>
  </si>
  <si>
    <t>L</t>
  </si>
  <si>
    <t>XL</t>
  </si>
  <si>
    <t>XXL</t>
  </si>
  <si>
    <t>1175 RM Lijnden</t>
  </si>
  <si>
    <t>6902 PK, Zevenaar/ The Netherlands</t>
  </si>
  <si>
    <t>=</t>
  </si>
  <si>
    <t>Delivery terms</t>
  </si>
  <si>
    <t>C.I.F.</t>
  </si>
  <si>
    <t>Tricot fashioncompany</t>
  </si>
  <si>
    <t>Fabric supplier</t>
  </si>
  <si>
    <t>Supplier info</t>
  </si>
  <si>
    <t>Quantity</t>
  </si>
  <si>
    <t>Delivery date</t>
  </si>
  <si>
    <t>Flatpacked</t>
  </si>
  <si>
    <t>Style no.</t>
  </si>
  <si>
    <t>Colour</t>
  </si>
  <si>
    <t>Quality</t>
  </si>
  <si>
    <t>Colour/dessin</t>
  </si>
  <si>
    <t>buyingprice</t>
  </si>
  <si>
    <t>Flatpacked, size range</t>
  </si>
  <si>
    <t>per polybag. Barcode</t>
  </si>
  <si>
    <t>sticker on polybag with</t>
  </si>
  <si>
    <t>sizes and colour.</t>
  </si>
  <si>
    <t>Remarks:</t>
  </si>
  <si>
    <t>* For all details, please check Delogue</t>
  </si>
  <si>
    <t>REMARK :</t>
  </si>
  <si>
    <t>Signature</t>
  </si>
  <si>
    <t>Total:</t>
  </si>
  <si>
    <t>Elite Textile</t>
  </si>
  <si>
    <t>A</t>
  </si>
  <si>
    <t>Orderdate: 04-08-2026</t>
  </si>
  <si>
    <t>Autumn 2026</t>
  </si>
  <si>
    <t>18/25-09-2026</t>
  </si>
  <si>
    <t>ONESTO</t>
  </si>
  <si>
    <t>Les Copines + ONESTO</t>
  </si>
  <si>
    <t>Order nr.: TCEL 005</t>
  </si>
  <si>
    <t>B</t>
  </si>
  <si>
    <t>LES COPINES</t>
  </si>
  <si>
    <t xml:space="preserve">new price </t>
  </si>
  <si>
    <t>for shldr pads</t>
  </si>
  <si>
    <t xml:space="preserve">Blazer, 2 buttons, </t>
  </si>
  <si>
    <t>shoulderpads,  check fabric</t>
  </si>
  <si>
    <t>Trouser, straight slim,</t>
  </si>
  <si>
    <t>check fabric</t>
  </si>
  <si>
    <t/>
  </si>
  <si>
    <t>2036 brown multi color</t>
  </si>
  <si>
    <t>82% polyester 14% cotton 4% elastan</t>
  </si>
  <si>
    <t>fabric quality</t>
  </si>
  <si>
    <t>Lami Astoria Design no. 25092 col. 1000 "silver"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</si>
</sst>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_);[Red]\(&quot;€&quot;\ #,##0.00\)"/>
    <numFmt numFmtId="165" formatCode="&quot;€&quot;\ #,##0.00"/>
  </numFmts>
  <fonts count="24">
    <font>
      <sz val="10"/>
      <name val="Arial"/>
    </font>
    <font>
      <sz val="8"/>
      <name val="Arial"/>
      <family val="2"/>
    </font>
    <font>
      <sz val="20"/>
      <color indexed="63"/>
      <name val="Bodoni MT"/>
      <family val="1"/>
    </font>
    <font>
      <b/>
      <sz val="11"/>
      <color indexed="63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b/>
      <sz val="16"/>
      <color indexed="63"/>
      <name val="Bodoni MT"/>
      <family val="1"/>
    </font>
    <font>
      <sz val="11"/>
      <color indexed="63"/>
      <name val="Arial"/>
      <family val="2"/>
    </font>
    <font>
      <sz val="9"/>
      <color indexed="63"/>
      <name val="Arial"/>
      <family val="2"/>
    </font>
    <font>
      <b/>
      <sz val="9"/>
      <color indexed="63"/>
      <name val="Arial"/>
      <family val="2"/>
    </font>
    <font>
      <sz val="10"/>
      <name val="Arial"/>
      <family val="2"/>
    </font>
    <font>
      <b/>
      <i/>
      <sz val="10"/>
      <color indexed="63"/>
      <name val="Arial"/>
      <family val="2"/>
    </font>
    <font>
      <sz val="8"/>
      <color indexed="63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9"/>
      <color rgb="FF333333"/>
      <name val="Arial"/>
      <family val="2"/>
    </font>
    <font>
      <sz val="10"/>
      <color theme="1" tint="0.24997711111789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venir Next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0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2" xfId="0" applyFont="1" applyBorder="1"/>
    <xf numFmtId="0" fontId="3" fillId="0" borderId="4" xfId="0" applyFont="1" applyBorder="1"/>
    <xf numFmtId="0" fontId="4" fillId="0" borderId="5" xfId="0" applyFont="1" applyBorder="1"/>
    <xf numFmtId="0" fontId="4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7" xfId="0" applyFont="1" applyBorder="1"/>
    <xf numFmtId="0" fontId="4" fillId="0" borderId="10" xfId="0" applyFont="1" applyBorder="1"/>
    <xf numFmtId="0" fontId="3" fillId="0" borderId="11" xfId="0" applyFont="1" applyBorder="1"/>
    <xf numFmtId="0" fontId="3" fillId="0" borderId="0" xfId="0" applyFont="1"/>
    <xf numFmtId="14" fontId="3" fillId="0" borderId="12" xfId="0" applyNumberFormat="1" applyFont="1" applyBorder="1"/>
    <xf numFmtId="16" fontId="4" fillId="0" borderId="0" xfId="0" applyNumberFormat="1" applyFont="1"/>
    <xf numFmtId="0" fontId="5" fillId="0" borderId="13" xfId="0" applyFont="1" applyBorder="1"/>
    <xf numFmtId="0" fontId="3" fillId="0" borderId="12" xfId="0" applyFont="1" applyBorder="1"/>
    <xf numFmtId="0" fontId="3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14" fontId="4" fillId="0" borderId="17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7" fillId="0" borderId="2" xfId="0" applyFont="1" applyBorder="1"/>
    <xf numFmtId="0" fontId="3" fillId="0" borderId="1" xfId="0" applyFont="1" applyBorder="1" applyAlignment="1">
      <alignment horizontal="left"/>
    </xf>
    <xf numFmtId="0" fontId="8" fillId="0" borderId="2" xfId="0" applyFont="1" applyBorder="1"/>
    <xf numFmtId="0" fontId="5" fillId="0" borderId="2" xfId="0" applyFont="1" applyBorder="1"/>
    <xf numFmtId="0" fontId="4" fillId="0" borderId="11" xfId="0" applyFont="1" applyBorder="1"/>
    <xf numFmtId="0" fontId="4" fillId="0" borderId="21" xfId="0" applyFont="1" applyBorder="1"/>
    <xf numFmtId="0" fontId="8" fillId="0" borderId="22" xfId="0" applyFont="1" applyBorder="1"/>
    <xf numFmtId="0" fontId="9" fillId="0" borderId="22" xfId="0" applyFont="1" applyBorder="1" applyAlignment="1">
      <alignment horizontal="center"/>
    </xf>
    <xf numFmtId="0" fontId="4" fillId="0" borderId="22" xfId="0" applyFont="1" applyBorder="1"/>
    <xf numFmtId="0" fontId="4" fillId="0" borderId="23" xfId="0" applyFont="1" applyBorder="1"/>
    <xf numFmtId="0" fontId="4" fillId="0" borderId="6" xfId="0" applyFont="1" applyBorder="1"/>
    <xf numFmtId="0" fontId="5" fillId="0" borderId="0" xfId="0" applyFont="1"/>
    <xf numFmtId="0" fontId="8" fillId="0" borderId="26" xfId="0" applyFont="1" applyBorder="1" applyAlignment="1">
      <alignment horizontal="center"/>
    </xf>
    <xf numFmtId="0" fontId="4" fillId="0" borderId="27" xfId="0" applyFont="1" applyBorder="1"/>
    <xf numFmtId="0" fontId="4" fillId="0" borderId="22" xfId="0" applyFont="1" applyBorder="1" applyAlignment="1">
      <alignment horizontal="center"/>
    </xf>
    <xf numFmtId="0" fontId="4" fillId="0" borderId="28" xfId="0" applyFont="1" applyBorder="1"/>
    <xf numFmtId="0" fontId="5" fillId="0" borderId="9" xfId="0" applyFont="1" applyBorder="1" applyAlignment="1">
      <alignment horizontal="center"/>
    </xf>
    <xf numFmtId="0" fontId="5" fillId="0" borderId="31" xfId="0" applyFont="1" applyBorder="1"/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/>
    <xf numFmtId="0" fontId="4" fillId="0" borderId="23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0" xfId="0" applyFont="1" applyBorder="1"/>
    <xf numFmtId="0" fontId="11" fillId="0" borderId="10" xfId="0" applyFont="1" applyBorder="1"/>
    <xf numFmtId="0" fontId="4" fillId="0" borderId="20" xfId="0" applyFont="1" applyBorder="1" applyAlignment="1">
      <alignment horizontal="center"/>
    </xf>
    <xf numFmtId="0" fontId="12" fillId="0" borderId="11" xfId="0" applyFont="1" applyBorder="1"/>
    <xf numFmtId="0" fontId="4" fillId="0" borderId="39" xfId="0" applyFont="1" applyBorder="1" applyAlignment="1">
      <alignment horizontal="center"/>
    </xf>
    <xf numFmtId="0" fontId="12" fillId="0" borderId="16" xfId="0" applyFont="1" applyBorder="1"/>
    <xf numFmtId="0" fontId="4" fillId="0" borderId="40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16" xfId="0" applyFont="1" applyBorder="1" applyAlignment="1">
      <alignment horizontal="center"/>
    </xf>
    <xf numFmtId="0" fontId="11" fillId="0" borderId="16" xfId="0" applyFont="1" applyBorder="1"/>
    <xf numFmtId="0" fontId="11" fillId="0" borderId="37" xfId="0" applyFont="1" applyBorder="1" applyAlignment="1">
      <alignment horizontal="center"/>
    </xf>
    <xf numFmtId="0" fontId="11" fillId="0" borderId="38" xfId="0" applyFont="1" applyBorder="1"/>
    <xf numFmtId="0" fontId="10" fillId="0" borderId="11" xfId="0" applyFont="1" applyBorder="1"/>
    <xf numFmtId="0" fontId="10" fillId="0" borderId="6" xfId="0" applyFont="1" applyBorder="1"/>
    <xf numFmtId="0" fontId="10" fillId="0" borderId="36" xfId="0" applyFont="1" applyBorder="1" applyAlignment="1">
      <alignment horizontal="center"/>
    </xf>
    <xf numFmtId="0" fontId="5" fillId="0" borderId="30" xfId="0" applyFont="1" applyBorder="1"/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8" fillId="0" borderId="44" xfId="0" applyFont="1" applyBorder="1"/>
    <xf numFmtId="0" fontId="9" fillId="0" borderId="44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4" fillId="0" borderId="44" xfId="0" applyFont="1" applyBorder="1"/>
    <xf numFmtId="0" fontId="3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8" fillId="0" borderId="0" xfId="0" applyFont="1"/>
    <xf numFmtId="0" fontId="5" fillId="0" borderId="24" xfId="0" applyFont="1" applyBorder="1"/>
    <xf numFmtId="0" fontId="5" fillId="0" borderId="48" xfId="0" applyFont="1" applyBorder="1"/>
    <xf numFmtId="0" fontId="5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50" xfId="0" applyFont="1" applyBorder="1"/>
    <xf numFmtId="0" fontId="4" fillId="0" borderId="5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35" xfId="0" quotePrefix="1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13" fillId="0" borderId="35" xfId="0" quotePrefix="1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5" fillId="0" borderId="35" xfId="0" applyFont="1" applyBorder="1"/>
    <xf numFmtId="0" fontId="15" fillId="0" borderId="30" xfId="0" applyFont="1" applyBorder="1"/>
    <xf numFmtId="0" fontId="15" fillId="0" borderId="38" xfId="0" applyFont="1" applyBorder="1"/>
    <xf numFmtId="0" fontId="4" fillId="0" borderId="5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4" fillId="0" borderId="54" xfId="0" applyFont="1" applyBorder="1"/>
    <xf numFmtId="0" fontId="4" fillId="0" borderId="9" xfId="0" applyFont="1" applyBorder="1"/>
    <xf numFmtId="0" fontId="11" fillId="0" borderId="19" xfId="0" applyFont="1" applyBorder="1"/>
    <xf numFmtId="0" fontId="10" fillId="0" borderId="9" xfId="0" applyFont="1" applyBorder="1" applyAlignment="1">
      <alignment horizontal="center"/>
    </xf>
    <xf numFmtId="0" fontId="13" fillId="0" borderId="33" xfId="0" quotePrefix="1" applyFont="1" applyBorder="1" applyAlignment="1">
      <alignment horizontal="left"/>
    </xf>
    <xf numFmtId="0" fontId="13" fillId="0" borderId="14" xfId="0" applyFont="1" applyBorder="1"/>
    <xf numFmtId="0" fontId="13" fillId="0" borderId="3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21" fillId="0" borderId="0" xfId="0" applyFont="1"/>
    <xf numFmtId="0" fontId="20" fillId="0" borderId="34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0" fillId="0" borderId="51" xfId="0" applyFont="1" applyBorder="1"/>
    <xf numFmtId="0" fontId="20" fillId="0" borderId="39" xfId="0" applyFont="1" applyBorder="1"/>
    <xf numFmtId="0" fontId="8" fillId="0" borderId="27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8" fillId="0" borderId="32" xfId="0" applyFont="1" applyBorder="1"/>
    <xf numFmtId="0" fontId="9" fillId="0" borderId="32" xfId="0" applyFont="1" applyBorder="1" applyAlignment="1">
      <alignment horizontal="center"/>
    </xf>
    <xf numFmtId="0" fontId="4" fillId="0" borderId="32" xfId="0" applyFont="1" applyBorder="1"/>
    <xf numFmtId="0" fontId="8" fillId="0" borderId="22" xfId="0" applyFont="1" applyBorder="1" applyAlignment="1">
      <alignment horizontal="center"/>
    </xf>
    <xf numFmtId="0" fontId="22" fillId="0" borderId="4" xfId="0" applyFont="1" applyBorder="1"/>
    <xf numFmtId="0" fontId="23" fillId="0" borderId="2" xfId="0" applyFont="1" applyBorder="1"/>
    <xf numFmtId="0" fontId="10" fillId="0" borderId="2" xfId="0" applyFont="1" applyBorder="1"/>
    <xf numFmtId="0" fontId="20" fillId="0" borderId="2" xfId="0" applyFont="1" applyBorder="1"/>
    <xf numFmtId="0" fontId="14" fillId="0" borderId="21" xfId="0" applyFont="1" applyBorder="1"/>
    <xf numFmtId="0" fontId="20" fillId="0" borderId="0" xfId="0" applyFont="1"/>
    <xf numFmtId="0" fontId="10" fillId="0" borderId="0" xfId="0" applyFont="1"/>
    <xf numFmtId="0" fontId="20" fillId="0" borderId="21" xfId="0" applyFont="1" applyBorder="1"/>
    <xf numFmtId="0" fontId="20" fillId="0" borderId="34" xfId="0" quotePrefix="1" applyFont="1" applyBorder="1" applyAlignment="1">
      <alignment horizontal="center"/>
    </xf>
    <xf numFmtId="0" fontId="3" fillId="0" borderId="17" xfId="0" applyFont="1" applyBorder="1"/>
    <xf numFmtId="0" fontId="13" fillId="0" borderId="11" xfId="0" applyFont="1" applyBorder="1" applyAlignment="1">
      <alignment horizontal="center"/>
    </xf>
    <xf numFmtId="0" fontId="4" fillId="0" borderId="51" xfId="0" applyFont="1" applyBorder="1"/>
    <xf numFmtId="0" fontId="4" fillId="0" borderId="39" xfId="0" applyFont="1" applyBorder="1"/>
    <xf numFmtId="0" fontId="19" fillId="0" borderId="31" xfId="0" applyFont="1" applyBorder="1"/>
    <xf numFmtId="0" fontId="19" fillId="0" borderId="14" xfId="0" applyFont="1" applyBorder="1"/>
    <xf numFmtId="0" fontId="19" fillId="0" borderId="12" xfId="0" quotePrefix="1" applyFont="1" applyBorder="1" applyAlignment="1">
      <alignment horizontal="left"/>
    </xf>
    <xf numFmtId="0" fontId="19" fillId="0" borderId="33" xfId="0" applyFont="1" applyBorder="1"/>
    <xf numFmtId="0" fontId="20" fillId="0" borderId="12" xfId="0" applyFont="1" applyBorder="1"/>
    <xf numFmtId="0" fontId="20" fillId="0" borderId="3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33" xfId="0" applyFont="1" applyBorder="1"/>
    <xf numFmtId="0" fontId="20" fillId="0" borderId="31" xfId="0" applyFont="1" applyBorder="1" applyAlignment="1">
      <alignment horizontal="center"/>
    </xf>
    <xf numFmtId="14" fontId="20" fillId="0" borderId="39" xfId="0" applyNumberFormat="1" applyFont="1" applyBorder="1" applyAlignment="1">
      <alignment horizontal="center"/>
    </xf>
    <xf numFmtId="0" fontId="19" fillId="0" borderId="11" xfId="0" applyFont="1" applyBorder="1"/>
    <xf numFmtId="0" fontId="19" fillId="0" borderId="21" xfId="0" quotePrefix="1" applyFont="1" applyBorder="1" applyAlignment="1">
      <alignment horizontal="left"/>
    </xf>
    <xf numFmtId="164" fontId="20" fillId="0" borderId="11" xfId="0" applyNumberFormat="1" applyFont="1" applyBorder="1" applyAlignment="1">
      <alignment horizontal="center"/>
    </xf>
    <xf numFmtId="0" fontId="19" fillId="0" borderId="35" xfId="0" applyFont="1" applyBorder="1"/>
    <xf numFmtId="0" fontId="20" fillId="0" borderId="0" xfId="0" applyFont="1" applyAlignment="1">
      <alignment horizontal="center"/>
    </xf>
    <xf numFmtId="0" fontId="20" fillId="0" borderId="35" xfId="0" applyFont="1" applyBorder="1"/>
    <xf numFmtId="0" fontId="20" fillId="0" borderId="11" xfId="0" applyFont="1" applyBorder="1" applyAlignment="1">
      <alignment horizontal="center"/>
    </xf>
    <xf numFmtId="0" fontId="19" fillId="0" borderId="21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31" xfId="0" applyFont="1" applyBorder="1" applyAlignment="1">
      <alignment horizontal="center"/>
    </xf>
    <xf numFmtId="0" fontId="20" fillId="0" borderId="7" xfId="0" applyFont="1" applyBorder="1"/>
    <xf numFmtId="0" fontId="19" fillId="0" borderId="9" xfId="0" quotePrefix="1" applyFont="1" applyBorder="1" applyAlignment="1">
      <alignment horizontal="left"/>
    </xf>
    <xf numFmtId="0" fontId="19" fillId="0" borderId="6" xfId="0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13" fillId="0" borderId="21" xfId="0" quotePrefix="1" applyFont="1" applyBorder="1" applyAlignment="1">
      <alignment horizontal="left"/>
    </xf>
    <xf numFmtId="17" fontId="5" fillId="0" borderId="9" xfId="0" applyNumberFormat="1" applyFont="1" applyBorder="1" applyAlignment="1">
      <alignment horizontal="center"/>
    </xf>
    <xf numFmtId="0" fontId="5" fillId="0" borderId="21" xfId="0" quotePrefix="1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1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3" fillId="0" borderId="35" xfId="0" applyFont="1" applyBorder="1" applyAlignment="1">
      <alignment horizontal="left"/>
    </xf>
    <xf numFmtId="14" fontId="20" fillId="0" borderId="39" xfId="0" quotePrefix="1" applyNumberFormat="1" applyFont="1" applyBorder="1" applyAlignment="1">
      <alignment horizontal="center"/>
    </xf>
    <xf numFmtId="0" fontId="20" fillId="0" borderId="52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165" fontId="20" fillId="0" borderId="31" xfId="0" applyNumberFormat="1" applyFont="1" applyBorder="1" applyAlignment="1">
      <alignment horizontal="center"/>
    </xf>
    <xf numFmtId="0" fontId="20" fillId="0" borderId="51" xfId="0" applyFont="1" applyBorder="1" applyAlignment="1">
      <alignment horizontal="center"/>
    </xf>
    <xf numFmtId="165" fontId="20" fillId="0" borderId="11" xfId="0" applyNumberFormat="1" applyFont="1" applyBorder="1" applyAlignment="1">
      <alignment horizontal="center"/>
    </xf>
    <xf numFmtId="16" fontId="20" fillId="0" borderId="39" xfId="0" applyNumberFormat="1" applyFont="1" applyBorder="1" applyAlignment="1">
      <alignment horizontal="center"/>
    </xf>
    <xf numFmtId="165" fontId="20" fillId="0" borderId="6" xfId="0" applyNumberFormat="1" applyFont="1" applyBorder="1" applyAlignment="1">
      <alignment horizontal="center"/>
    </xf>
    <xf numFmtId="0" fontId="19" fillId="0" borderId="30" xfId="0" applyFont="1" applyBorder="1"/>
    <xf numFmtId="0" fontId="19" fillId="0" borderId="6" xfId="0" applyFont="1" applyBorder="1"/>
    <xf numFmtId="0" fontId="20" fillId="0" borderId="9" xfId="0" applyFont="1" applyBorder="1"/>
    <xf numFmtId="0" fontId="4" fillId="0" borderId="1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10" fillId="0" borderId="31" xfId="0" applyNumberFormat="1" applyFont="1" applyBorder="1" applyAlignment="1">
      <alignment horizontal="center"/>
    </xf>
    <xf numFmtId="0" fontId="13" fillId="0" borderId="33" xfId="0" applyFont="1" applyBorder="1"/>
    <xf numFmtId="14" fontId="4" fillId="0" borderId="39" xfId="0" applyNumberFormat="1" applyFont="1" applyBorder="1" applyAlignment="1">
      <alignment horizontal="center"/>
    </xf>
    <xf numFmtId="165" fontId="10" fillId="0" borderId="11" xfId="0" applyNumberFormat="1" applyFont="1" applyBorder="1" applyAlignment="1">
      <alignment horizontal="center"/>
    </xf>
    <xf numFmtId="0" fontId="13" fillId="0" borderId="35" xfId="0" applyFont="1" applyBorder="1"/>
    <xf numFmtId="0" fontId="20" fillId="0" borderId="34" xfId="0" applyFont="1" applyBorder="1" applyAlignment="1">
      <alignment horizontal="center" wrapText="1"/>
    </xf>
    <xf numFmtId="164" fontId="20" fillId="0" borderId="31" xfId="0" applyNumberFormat="1" applyFont="1" applyBorder="1" applyAlignment="1">
      <alignment horizontal="center"/>
    </xf>
    <xf numFmtId="0" fontId="19" fillId="0" borderId="0" xfId="0" applyFont="1"/>
    <xf numFmtId="0" fontId="14" fillId="0" borderId="56" xfId="0" applyFont="1" applyBorder="1"/>
    <xf numFmtId="0" fontId="14" fillId="0" borderId="13" xfId="0" applyFont="1" applyBorder="1"/>
    <xf numFmtId="0" fontId="14" fillId="0" borderId="8" xfId="0" applyFont="1" applyBorder="1"/>
    <xf numFmtId="0" fontId="19" fillId="0" borderId="35" xfId="0" quotePrefix="1" applyFont="1" applyBorder="1" applyAlignment="1">
      <alignment horizontal="left"/>
    </xf>
    <xf numFmtId="0" fontId="19" fillId="0" borderId="35" xfId="0" applyFont="1" applyBorder="1" applyAlignment="1">
      <alignment horizontal="left"/>
    </xf>
    <xf numFmtId="0" fontId="19" fillId="0" borderId="33" xfId="0" applyFont="1" applyBorder="1" applyAlignment="1">
      <alignment horizontal="left"/>
    </xf>
    <xf numFmtId="0" fontId="19" fillId="0" borderId="30" xfId="0" quotePrefix="1" applyFont="1" applyBorder="1" applyAlignment="1">
      <alignment horizontal="left"/>
    </xf>
    <xf numFmtId="0" fontId="13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23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4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A1D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83" zoomScaleNormal="83" workbookViewId="0">
      <selection activeCell="D19" sqref="D19"/>
    </sheetView>
  </sheetViews>
  <sheetFormatPr defaultColWidth="9.140625" defaultRowHeight="12.75"/>
  <cols>
    <col min="1" max="1" width="9.140625" style="7"/>
    <col min="2" max="2" width="20.140625" style="7" customWidth="1"/>
    <col min="3" max="3" width="23.7109375" style="7" customWidth="1"/>
    <col min="4" max="4" width="20" style="7" customWidth="1"/>
    <col min="5" max="5" width="33.85546875" style="7" bestFit="1" customWidth="1"/>
    <col min="6" max="6" width="24.28515625" style="7" customWidth="1"/>
    <col min="7" max="7" width="14.7109375" style="7" customWidth="1"/>
    <col min="8" max="8" width="16.28515625" style="7" bestFit="1" customWidth="1"/>
    <col min="9" max="13" width="5.7109375" style="7" customWidth="1"/>
    <col min="14" max="14" width="6.7109375" style="7" customWidth="1"/>
    <col min="15" max="18" width="5.7109375" style="7" customWidth="1"/>
    <col min="19" max="19" width="8.140625" style="7" customWidth="1"/>
    <col min="20" max="20" width="12.7109375" style="7" customWidth="1"/>
    <col min="21" max="21" width="18.7109375" style="7" customWidth="1"/>
    <col min="22" max="22" width="2.42578125" style="7" customWidth="1"/>
    <col min="23" max="16384" width="9.140625" style="7"/>
  </cols>
  <sheetData>
    <row r="1" spans="1:21" ht="20.25" customHeight="1">
      <c r="A1" s="221" t="s">
        <v>0</v>
      </c>
      <c r="B1" s="222"/>
      <c r="C1" s="222"/>
      <c r="D1" s="222"/>
      <c r="E1" s="222"/>
      <c r="F1" s="222"/>
      <c r="G1" s="222"/>
      <c r="H1" s="223"/>
      <c r="I1" s="1" t="s">
        <v>1</v>
      </c>
      <c r="J1" s="2"/>
      <c r="K1" s="2" t="s">
        <v>42</v>
      </c>
      <c r="L1" s="2"/>
      <c r="M1" s="2"/>
      <c r="N1" s="3"/>
      <c r="O1" s="2" t="s">
        <v>2</v>
      </c>
      <c r="P1" s="2"/>
      <c r="Q1" s="4"/>
      <c r="R1" s="3"/>
      <c r="S1" s="5" t="s">
        <v>3</v>
      </c>
      <c r="T1" s="2" t="s">
        <v>45</v>
      </c>
      <c r="U1" s="6"/>
    </row>
    <row r="2" spans="1:21" ht="14.25" customHeight="1">
      <c r="A2" s="224"/>
      <c r="B2" s="225"/>
      <c r="C2" s="225"/>
      <c r="D2" s="225"/>
      <c r="E2" s="225"/>
      <c r="F2" s="225"/>
      <c r="G2" s="225"/>
      <c r="H2" s="226"/>
      <c r="I2" s="8"/>
      <c r="J2" s="9"/>
      <c r="K2" s="9"/>
      <c r="L2" s="9"/>
      <c r="M2" s="9"/>
      <c r="N2" s="10"/>
      <c r="O2" s="9"/>
      <c r="P2" s="9"/>
      <c r="Q2" s="11"/>
      <c r="R2" s="12"/>
      <c r="S2" s="13"/>
      <c r="T2" s="14"/>
      <c r="U2" s="15"/>
    </row>
    <row r="3" spans="1:21" ht="21" customHeight="1">
      <c r="A3" s="227" t="s">
        <v>4</v>
      </c>
      <c r="B3" s="228"/>
      <c r="C3" s="228"/>
      <c r="D3" s="228"/>
      <c r="E3" s="228"/>
      <c r="F3" s="228"/>
      <c r="G3" s="228"/>
      <c r="H3" s="229"/>
      <c r="I3" s="16" t="s">
        <v>5</v>
      </c>
      <c r="J3" s="17"/>
      <c r="K3" s="17" t="s">
        <v>48</v>
      </c>
      <c r="L3" s="17"/>
      <c r="M3" s="17"/>
      <c r="N3" s="17"/>
      <c r="O3" s="18" t="s">
        <v>44</v>
      </c>
      <c r="P3" s="17"/>
      <c r="Q3" s="19"/>
      <c r="R3" s="20"/>
      <c r="S3" s="21" t="s">
        <v>49</v>
      </c>
      <c r="T3" s="22"/>
      <c r="U3" s="23"/>
    </row>
    <row r="4" spans="1:21" ht="16.899999999999999" customHeight="1" thickBot="1">
      <c r="A4" s="230"/>
      <c r="B4" s="231"/>
      <c r="C4" s="231"/>
      <c r="D4" s="231"/>
      <c r="E4" s="231"/>
      <c r="F4" s="231"/>
      <c r="G4" s="231"/>
      <c r="H4" s="232"/>
      <c r="I4" s="24"/>
      <c r="J4" s="25"/>
      <c r="K4" s="147"/>
      <c r="L4" s="25"/>
      <c r="M4" s="25"/>
      <c r="N4" s="26"/>
      <c r="O4" s="25"/>
      <c r="P4" s="25"/>
      <c r="Q4" s="27"/>
      <c r="R4" s="26"/>
      <c r="S4" s="28"/>
      <c r="T4" s="25"/>
      <c r="U4" s="29"/>
    </row>
    <row r="5" spans="1:21" ht="18.75" customHeight="1">
      <c r="A5" s="1" t="s">
        <v>6</v>
      </c>
      <c r="B5" s="4"/>
      <c r="C5" s="4" t="s">
        <v>0</v>
      </c>
      <c r="D5" s="30"/>
      <c r="E5" s="138" t="s">
        <v>7</v>
      </c>
      <c r="F5" s="139"/>
      <c r="G5" s="140" t="s">
        <v>8</v>
      </c>
      <c r="H5" s="141"/>
      <c r="I5" s="31" t="s">
        <v>9</v>
      </c>
      <c r="J5" s="32"/>
      <c r="K5" s="32"/>
      <c r="L5" s="32"/>
      <c r="M5" s="32"/>
      <c r="N5" s="32"/>
      <c r="O5" s="32"/>
      <c r="P5" s="32"/>
      <c r="Q5" s="32"/>
      <c r="R5" s="4"/>
      <c r="S5" s="33"/>
      <c r="T5" s="33"/>
      <c r="U5" s="6"/>
    </row>
    <row r="6" spans="1:21" ht="18" customHeight="1">
      <c r="A6" s="34"/>
      <c r="C6" s="7" t="s">
        <v>10</v>
      </c>
      <c r="E6" s="142"/>
      <c r="F6" s="143"/>
      <c r="G6" s="144" t="s">
        <v>11</v>
      </c>
      <c r="H6" s="143"/>
      <c r="I6" s="73"/>
      <c r="J6" s="36"/>
      <c r="K6" s="37" t="s">
        <v>12</v>
      </c>
      <c r="L6" s="37" t="s">
        <v>13</v>
      </c>
      <c r="M6" s="37" t="s">
        <v>14</v>
      </c>
      <c r="N6" s="37" t="s">
        <v>15</v>
      </c>
      <c r="O6" s="37" t="s">
        <v>16</v>
      </c>
      <c r="P6" s="37"/>
      <c r="Q6" s="37"/>
      <c r="R6" s="38"/>
      <c r="U6" s="39"/>
    </row>
    <row r="7" spans="1:21" ht="18.75" customHeight="1">
      <c r="A7" s="34"/>
      <c r="C7" s="7" t="s">
        <v>17</v>
      </c>
      <c r="E7" s="145"/>
      <c r="F7" s="143"/>
      <c r="G7" s="144" t="s">
        <v>18</v>
      </c>
      <c r="H7" s="143"/>
      <c r="I7" s="73" t="s">
        <v>43</v>
      </c>
      <c r="J7" s="36"/>
      <c r="K7" s="37">
        <v>1</v>
      </c>
      <c r="L7" s="37">
        <v>2</v>
      </c>
      <c r="M7" s="37">
        <v>2</v>
      </c>
      <c r="N7" s="37">
        <v>2</v>
      </c>
      <c r="O7" s="37">
        <v>1</v>
      </c>
      <c r="P7" s="37" t="s">
        <v>19</v>
      </c>
      <c r="Q7" s="37">
        <v>8</v>
      </c>
      <c r="R7" s="38"/>
      <c r="U7" s="39"/>
    </row>
    <row r="8" spans="1:21" ht="18.75" customHeight="1">
      <c r="A8" s="34"/>
      <c r="E8" s="118"/>
      <c r="G8" s="82"/>
      <c r="I8" s="133" t="s">
        <v>50</v>
      </c>
      <c r="J8" s="134"/>
      <c r="K8" s="135">
        <v>1</v>
      </c>
      <c r="L8" s="135">
        <v>1</v>
      </c>
      <c r="M8" s="135">
        <v>2</v>
      </c>
      <c r="N8" s="135">
        <v>1</v>
      </c>
      <c r="O8" s="135">
        <v>1</v>
      </c>
      <c r="P8" s="37" t="s">
        <v>19</v>
      </c>
      <c r="Q8" s="37">
        <v>6</v>
      </c>
      <c r="R8" s="136"/>
      <c r="U8" s="39"/>
    </row>
    <row r="9" spans="1:21" ht="21" customHeight="1" thickBot="1">
      <c r="A9" s="79" t="s">
        <v>20</v>
      </c>
      <c r="B9" s="80"/>
      <c r="C9" s="80"/>
      <c r="D9" s="80"/>
      <c r="E9" s="80" t="s">
        <v>21</v>
      </c>
      <c r="F9" s="80"/>
      <c r="G9" s="80"/>
      <c r="H9" s="81"/>
      <c r="I9" s="74"/>
      <c r="J9" s="75"/>
      <c r="K9" s="76"/>
      <c r="L9" s="76"/>
      <c r="M9" s="76"/>
      <c r="N9" s="76"/>
      <c r="O9" s="76"/>
      <c r="P9" s="77"/>
      <c r="Q9" s="76"/>
      <c r="R9" s="78"/>
      <c r="S9" s="25"/>
      <c r="T9" s="25"/>
      <c r="U9" s="29"/>
    </row>
    <row r="10" spans="1:21" s="41" customFormat="1" ht="20.25" customHeight="1">
      <c r="A10" s="237" t="s">
        <v>22</v>
      </c>
      <c r="B10" s="238"/>
      <c r="C10" s="239"/>
      <c r="D10" s="237" t="s">
        <v>23</v>
      </c>
      <c r="E10" s="238"/>
      <c r="F10" s="238"/>
      <c r="G10" s="237" t="s">
        <v>24</v>
      </c>
      <c r="H10" s="239"/>
      <c r="I10" s="83" t="s">
        <v>9</v>
      </c>
      <c r="J10" s="84"/>
      <c r="K10" s="85"/>
      <c r="L10" s="86"/>
      <c r="M10" s="87"/>
      <c r="N10" s="85"/>
      <c r="O10" s="85"/>
      <c r="P10" s="87"/>
      <c r="Q10" s="85"/>
      <c r="R10" s="88"/>
      <c r="S10" s="90" t="s">
        <v>25</v>
      </c>
      <c r="T10" s="98" t="s">
        <v>26</v>
      </c>
      <c r="U10" s="96" t="s">
        <v>27</v>
      </c>
    </row>
    <row r="11" spans="1:21">
      <c r="A11" s="235" t="s">
        <v>28</v>
      </c>
      <c r="B11" s="236"/>
      <c r="C11" s="42" t="s">
        <v>29</v>
      </c>
      <c r="D11" s="132" t="s">
        <v>61</v>
      </c>
      <c r="E11" s="137" t="s">
        <v>30</v>
      </c>
      <c r="F11" s="174" t="s">
        <v>31</v>
      </c>
      <c r="G11" s="184" t="s">
        <v>32</v>
      </c>
      <c r="H11" s="42"/>
      <c r="I11" s="43"/>
      <c r="J11" s="117"/>
      <c r="K11" s="44"/>
      <c r="L11" s="115"/>
      <c r="M11" s="44"/>
      <c r="N11" s="115"/>
      <c r="O11" s="44"/>
      <c r="P11" s="115"/>
      <c r="Q11" s="44"/>
      <c r="R11" s="45"/>
      <c r="S11" s="91"/>
      <c r="T11" s="99"/>
      <c r="U11" s="97"/>
    </row>
    <row r="12" spans="1:21" ht="15" customHeight="1">
      <c r="A12" s="151">
        <v>26158</v>
      </c>
      <c r="B12" s="152"/>
      <c r="C12" s="153" t="s">
        <v>59</v>
      </c>
      <c r="D12" s="124" t="s">
        <v>62</v>
      </c>
      <c r="E12" s="210" t="s">
        <v>60</v>
      </c>
      <c r="F12" s="153" t="s">
        <v>59</v>
      </c>
      <c r="G12" s="211">
        <v>26.25</v>
      </c>
      <c r="H12" s="154" t="s">
        <v>51</v>
      </c>
      <c r="I12" s="151" t="s">
        <v>43</v>
      </c>
      <c r="J12" s="155"/>
      <c r="K12" s="156">
        <v>16</v>
      </c>
      <c r="L12" s="157">
        <v>32</v>
      </c>
      <c r="M12" s="156">
        <v>32</v>
      </c>
      <c r="N12" s="157">
        <v>32</v>
      </c>
      <c r="O12" s="156">
        <v>16</v>
      </c>
      <c r="P12" s="157"/>
      <c r="Q12" s="156"/>
      <c r="R12" s="158"/>
      <c r="S12" s="159">
        <f>SUM(K12:O12)</f>
        <v>128</v>
      </c>
      <c r="T12" s="160" t="s">
        <v>46</v>
      </c>
      <c r="U12" s="130" t="s">
        <v>33</v>
      </c>
    </row>
    <row r="13" spans="1:21">
      <c r="A13" s="151">
        <v>26158</v>
      </c>
      <c r="B13" s="212"/>
      <c r="C13" s="153" t="s">
        <v>59</v>
      </c>
      <c r="D13" s="124" t="s">
        <v>62</v>
      </c>
      <c r="E13" s="210" t="s">
        <v>60</v>
      </c>
      <c r="F13" s="153" t="s">
        <v>59</v>
      </c>
      <c r="G13" s="163" t="s">
        <v>52</v>
      </c>
      <c r="H13" s="164" t="s">
        <v>51</v>
      </c>
      <c r="I13" s="161" t="s">
        <v>50</v>
      </c>
      <c r="J13" s="145"/>
      <c r="K13" s="127">
        <v>50</v>
      </c>
      <c r="L13" s="165">
        <v>100</v>
      </c>
      <c r="M13" s="127">
        <v>100</v>
      </c>
      <c r="N13" s="165">
        <v>50</v>
      </c>
      <c r="O13" s="127"/>
      <c r="P13" s="165"/>
      <c r="Q13" s="127"/>
      <c r="R13" s="166"/>
      <c r="S13" s="167">
        <v>300</v>
      </c>
      <c r="T13" s="160"/>
      <c r="U13" s="131" t="s">
        <v>34</v>
      </c>
    </row>
    <row r="14" spans="1:21">
      <c r="A14" s="151">
        <v>26158</v>
      </c>
      <c r="B14" s="212"/>
      <c r="C14" s="153" t="s">
        <v>59</v>
      </c>
      <c r="D14" s="124" t="s">
        <v>62</v>
      </c>
      <c r="E14" s="210" t="s">
        <v>60</v>
      </c>
      <c r="F14" s="153" t="s">
        <v>59</v>
      </c>
      <c r="G14" s="167" t="s">
        <v>53</v>
      </c>
      <c r="H14" s="164" t="s">
        <v>47</v>
      </c>
      <c r="I14" s="161" t="s">
        <v>50</v>
      </c>
      <c r="J14" s="145"/>
      <c r="K14" s="127">
        <v>14</v>
      </c>
      <c r="L14" s="165">
        <v>28</v>
      </c>
      <c r="M14" s="127">
        <v>28</v>
      </c>
      <c r="N14" s="165">
        <v>14</v>
      </c>
      <c r="O14" s="127"/>
      <c r="P14" s="165"/>
      <c r="Q14" s="127"/>
      <c r="R14" s="166"/>
      <c r="S14" s="167">
        <v>84</v>
      </c>
      <c r="T14" s="189"/>
      <c r="U14" s="131" t="s">
        <v>35</v>
      </c>
    </row>
    <row r="15" spans="1:21">
      <c r="A15" s="161" t="s">
        <v>54</v>
      </c>
      <c r="B15" s="212"/>
      <c r="C15" s="216"/>
      <c r="D15" s="124"/>
      <c r="E15" s="127"/>
      <c r="F15" s="162"/>
      <c r="G15" s="167"/>
      <c r="H15" s="164"/>
      <c r="I15" s="161"/>
      <c r="J15" s="145"/>
      <c r="K15" s="127"/>
      <c r="L15" s="165"/>
      <c r="M15" s="127"/>
      <c r="N15" s="165"/>
      <c r="O15" s="127"/>
      <c r="P15" s="165"/>
      <c r="Q15" s="127"/>
      <c r="R15" s="166"/>
      <c r="S15" s="167"/>
      <c r="T15" s="189"/>
      <c r="U15" s="131" t="s">
        <v>36</v>
      </c>
    </row>
    <row r="16" spans="1:21">
      <c r="A16" s="161" t="s">
        <v>55</v>
      </c>
      <c r="B16" s="143"/>
      <c r="C16" s="217"/>
      <c r="D16" s="124"/>
      <c r="E16" s="128"/>
      <c r="F16" s="168"/>
      <c r="G16" s="167"/>
      <c r="H16" s="164"/>
      <c r="I16" s="161"/>
      <c r="J16" s="145"/>
      <c r="K16" s="128"/>
      <c r="L16" s="165"/>
      <c r="M16" s="128"/>
      <c r="N16" s="165"/>
      <c r="O16" s="128"/>
      <c r="P16" s="165"/>
      <c r="Q16" s="127"/>
      <c r="R16" s="166"/>
      <c r="S16" s="190"/>
      <c r="T16" s="191"/>
      <c r="U16" s="131"/>
    </row>
    <row r="17" spans="1:21">
      <c r="A17" s="151"/>
      <c r="B17" s="152"/>
      <c r="C17" s="218"/>
      <c r="D17" s="170"/>
      <c r="E17" s="127"/>
      <c r="F17" s="169"/>
      <c r="G17" s="192"/>
      <c r="H17" s="154"/>
      <c r="I17" s="151"/>
      <c r="J17" s="155"/>
      <c r="K17" s="156"/>
      <c r="L17" s="157"/>
      <c r="M17" s="156"/>
      <c r="N17" s="157"/>
      <c r="O17" s="156"/>
      <c r="P17" s="157"/>
      <c r="Q17" s="156"/>
      <c r="R17" s="158"/>
      <c r="S17" s="159"/>
      <c r="T17" s="193"/>
      <c r="U17" s="23"/>
    </row>
    <row r="18" spans="1:21">
      <c r="A18" s="161"/>
      <c r="B18" s="143"/>
      <c r="C18" s="217"/>
      <c r="D18" s="124"/>
      <c r="E18" s="127"/>
      <c r="F18" s="168"/>
      <c r="G18" s="194"/>
      <c r="H18" s="164"/>
      <c r="I18" s="161"/>
      <c r="J18" s="145"/>
      <c r="K18" s="127"/>
      <c r="L18" s="165"/>
      <c r="M18" s="127"/>
      <c r="N18" s="165"/>
      <c r="O18" s="127"/>
      <c r="P18" s="165"/>
      <c r="Q18" s="127"/>
      <c r="R18" s="166"/>
      <c r="S18" s="167"/>
      <c r="T18" s="191"/>
      <c r="U18" s="39"/>
    </row>
    <row r="19" spans="1:21">
      <c r="A19" s="161"/>
      <c r="B19" s="143"/>
      <c r="C19" s="216"/>
      <c r="D19" s="124"/>
      <c r="E19" s="127"/>
      <c r="F19" s="162"/>
      <c r="G19" s="194"/>
      <c r="H19" s="164"/>
      <c r="I19" s="161"/>
      <c r="J19" s="145"/>
      <c r="K19" s="127"/>
      <c r="L19" s="165"/>
      <c r="M19" s="127"/>
      <c r="N19" s="165"/>
      <c r="O19" s="127"/>
      <c r="P19" s="165"/>
      <c r="Q19" s="127"/>
      <c r="R19" s="166"/>
      <c r="S19" s="167"/>
      <c r="T19" s="195"/>
      <c r="U19" s="39"/>
    </row>
    <row r="20" spans="1:21">
      <c r="A20" s="198"/>
      <c r="B20" s="171"/>
      <c r="C20" s="219"/>
      <c r="D20" s="173"/>
      <c r="E20" s="128"/>
      <c r="F20" s="172"/>
      <c r="G20" s="196"/>
      <c r="H20" s="197"/>
      <c r="I20" s="198"/>
      <c r="J20" s="199"/>
      <c r="K20" s="128"/>
      <c r="L20" s="165"/>
      <c r="M20" s="128"/>
      <c r="N20" s="165"/>
      <c r="O20" s="128"/>
      <c r="P20" s="165"/>
      <c r="Q20" s="127"/>
      <c r="R20" s="166"/>
      <c r="S20" s="190"/>
      <c r="T20" s="190"/>
      <c r="U20" s="15"/>
    </row>
    <row r="21" spans="1:21" ht="12" customHeight="1">
      <c r="A21" s="151">
        <v>26159</v>
      </c>
      <c r="B21" s="213"/>
      <c r="C21" s="153" t="s">
        <v>59</v>
      </c>
      <c r="D21" s="124" t="s">
        <v>62</v>
      </c>
      <c r="E21" s="210" t="s">
        <v>60</v>
      </c>
      <c r="F21" s="153" t="s">
        <v>59</v>
      </c>
      <c r="G21" s="185">
        <v>17.95</v>
      </c>
      <c r="H21" s="154" t="s">
        <v>51</v>
      </c>
      <c r="I21" s="151" t="s">
        <v>43</v>
      </c>
      <c r="J21" s="155"/>
      <c r="K21" s="156">
        <v>16</v>
      </c>
      <c r="L21" s="157">
        <v>32</v>
      </c>
      <c r="M21" s="156">
        <v>32</v>
      </c>
      <c r="N21" s="157">
        <v>32</v>
      </c>
      <c r="O21" s="156">
        <v>16</v>
      </c>
      <c r="P21" s="157"/>
      <c r="Q21" s="156"/>
      <c r="R21" s="158"/>
      <c r="S21" s="159">
        <v>128</v>
      </c>
      <c r="T21" s="59"/>
      <c r="U21" s="23"/>
    </row>
    <row r="22" spans="1:21">
      <c r="A22" s="151">
        <v>26159</v>
      </c>
      <c r="B22" s="214"/>
      <c r="C22" s="153" t="s">
        <v>59</v>
      </c>
      <c r="D22" s="124" t="s">
        <v>62</v>
      </c>
      <c r="E22" s="210" t="s">
        <v>60</v>
      </c>
      <c r="F22" s="153" t="s">
        <v>59</v>
      </c>
      <c r="G22" s="185"/>
      <c r="H22" s="164" t="s">
        <v>51</v>
      </c>
      <c r="I22" s="161" t="s">
        <v>50</v>
      </c>
      <c r="J22" s="145"/>
      <c r="K22" s="127">
        <v>50</v>
      </c>
      <c r="L22" s="165">
        <v>100</v>
      </c>
      <c r="M22" s="127">
        <v>100</v>
      </c>
      <c r="N22" s="165">
        <v>50</v>
      </c>
      <c r="O22" s="127"/>
      <c r="P22" s="165"/>
      <c r="Q22" s="127"/>
      <c r="R22" s="166"/>
      <c r="S22" s="167">
        <v>300</v>
      </c>
      <c r="T22" s="59"/>
      <c r="U22" s="39"/>
    </row>
    <row r="23" spans="1:21">
      <c r="A23" s="151">
        <v>26159</v>
      </c>
      <c r="B23" s="214"/>
      <c r="C23" s="153" t="s">
        <v>59</v>
      </c>
      <c r="D23" s="124" t="s">
        <v>62</v>
      </c>
      <c r="E23" s="210" t="s">
        <v>60</v>
      </c>
      <c r="F23" s="153" t="s">
        <v>59</v>
      </c>
      <c r="G23" s="185"/>
      <c r="H23" s="164" t="s">
        <v>47</v>
      </c>
      <c r="I23" s="161" t="s">
        <v>50</v>
      </c>
      <c r="J23" s="145"/>
      <c r="K23" s="127">
        <v>14</v>
      </c>
      <c r="L23" s="165">
        <v>28</v>
      </c>
      <c r="M23" s="127">
        <v>28</v>
      </c>
      <c r="N23" s="165">
        <v>14</v>
      </c>
      <c r="O23" s="127"/>
      <c r="P23" s="165"/>
      <c r="Q23" s="127"/>
      <c r="R23" s="166"/>
      <c r="S23" s="167">
        <v>84</v>
      </c>
      <c r="T23" s="59"/>
      <c r="U23" s="150"/>
    </row>
    <row r="24" spans="1:21">
      <c r="A24" s="161" t="s">
        <v>56</v>
      </c>
      <c r="B24" s="214"/>
      <c r="C24" s="102"/>
      <c r="D24" s="49"/>
      <c r="E24" s="127"/>
      <c r="F24" s="175"/>
      <c r="G24" s="185"/>
      <c r="H24" s="164"/>
      <c r="I24" s="161"/>
      <c r="J24" s="145"/>
      <c r="K24" s="127"/>
      <c r="L24" s="165"/>
      <c r="M24" s="127"/>
      <c r="N24" s="165"/>
      <c r="O24" s="127"/>
      <c r="P24" s="165"/>
      <c r="Q24" s="127"/>
      <c r="R24" s="166"/>
      <c r="S24" s="167"/>
      <c r="T24" s="59"/>
      <c r="U24" s="39"/>
    </row>
    <row r="25" spans="1:21" ht="16.149999999999999" customHeight="1">
      <c r="A25" s="64" t="s">
        <v>57</v>
      </c>
      <c r="B25" s="215"/>
      <c r="C25" s="103"/>
      <c r="D25" s="63"/>
      <c r="E25" s="128"/>
      <c r="F25" s="176"/>
      <c r="G25" s="186"/>
      <c r="H25" s="72"/>
      <c r="I25" s="64"/>
      <c r="J25" s="118"/>
      <c r="K25" s="54"/>
      <c r="L25" s="204"/>
      <c r="M25" s="54"/>
      <c r="N25" s="204"/>
      <c r="O25" s="54"/>
      <c r="P25" s="204"/>
      <c r="Q25" s="54"/>
      <c r="R25" s="55"/>
      <c r="S25" s="91"/>
      <c r="T25" s="89"/>
      <c r="U25" s="39"/>
    </row>
    <row r="26" spans="1:21">
      <c r="A26" s="48"/>
      <c r="B26" s="41"/>
      <c r="C26" s="100"/>
      <c r="D26" s="49"/>
      <c r="E26" s="50"/>
      <c r="F26" s="177"/>
      <c r="G26" s="92"/>
      <c r="H26" s="112"/>
      <c r="I26" s="48"/>
      <c r="J26" s="35"/>
      <c r="K26" s="51"/>
      <c r="L26" s="203"/>
      <c r="M26" s="51"/>
      <c r="N26" s="203"/>
      <c r="O26" s="51"/>
      <c r="P26" s="203"/>
      <c r="Q26" s="51"/>
      <c r="R26" s="52"/>
      <c r="S26" s="59"/>
      <c r="T26" s="59"/>
      <c r="U26" s="149"/>
    </row>
    <row r="27" spans="1:21">
      <c r="A27" s="48"/>
      <c r="B27" s="41"/>
      <c r="C27" s="100"/>
      <c r="D27" s="49"/>
      <c r="E27" s="146"/>
      <c r="F27" s="177"/>
      <c r="G27" s="92"/>
      <c r="H27" s="112"/>
      <c r="I27" s="48"/>
      <c r="J27" s="35"/>
      <c r="K27" s="51"/>
      <c r="L27" s="203"/>
      <c r="M27" s="51"/>
      <c r="N27" s="203"/>
      <c r="O27" s="51"/>
      <c r="P27" s="203"/>
      <c r="Q27" s="51"/>
      <c r="R27" s="52"/>
      <c r="S27" s="92"/>
      <c r="T27" s="59"/>
      <c r="U27" s="39"/>
    </row>
    <row r="28" spans="1:21">
      <c r="A28" s="64"/>
      <c r="B28" s="14"/>
      <c r="C28" s="101"/>
      <c r="D28" s="63"/>
      <c r="E28" s="128"/>
      <c r="F28" s="178"/>
      <c r="G28" s="186"/>
      <c r="H28" s="72"/>
      <c r="I28" s="64"/>
      <c r="J28" s="118"/>
      <c r="K28" s="54"/>
      <c r="L28" s="108"/>
      <c r="M28" s="54"/>
      <c r="N28" s="108"/>
      <c r="O28" s="54"/>
      <c r="P28" s="108"/>
      <c r="Q28" s="54"/>
      <c r="R28" s="55"/>
      <c r="S28" s="91"/>
      <c r="T28" s="89"/>
      <c r="U28" s="15"/>
    </row>
    <row r="29" spans="1:21">
      <c r="A29" s="47"/>
      <c r="B29" s="122"/>
      <c r="C29" s="121"/>
      <c r="D29" s="123"/>
      <c r="E29" s="127"/>
      <c r="F29" s="121"/>
      <c r="G29" s="205"/>
      <c r="H29" s="206"/>
      <c r="I29" s="151"/>
      <c r="J29" s="155"/>
      <c r="K29" s="156"/>
      <c r="L29" s="157"/>
      <c r="M29" s="156"/>
      <c r="N29" s="157"/>
      <c r="O29" s="156"/>
      <c r="P29" s="200"/>
      <c r="Q29" s="201"/>
      <c r="R29" s="202"/>
      <c r="S29" s="159"/>
      <c r="T29" s="207"/>
      <c r="U29" s="149"/>
    </row>
    <row r="30" spans="1:21">
      <c r="A30" s="48"/>
      <c r="B30" s="220"/>
      <c r="C30" s="102"/>
      <c r="D30" s="148"/>
      <c r="E30" s="146"/>
      <c r="F30" s="179"/>
      <c r="G30" s="208"/>
      <c r="H30" s="209"/>
      <c r="I30" s="161"/>
      <c r="J30" s="145"/>
      <c r="K30" s="127"/>
      <c r="L30" s="165"/>
      <c r="M30" s="127"/>
      <c r="N30" s="165"/>
      <c r="O30" s="127"/>
      <c r="P30" s="203"/>
      <c r="Q30" s="51"/>
      <c r="R30" s="52"/>
      <c r="S30" s="167"/>
      <c r="T30" s="59"/>
      <c r="U30" s="150"/>
    </row>
    <row r="31" spans="1:21">
      <c r="A31" s="48"/>
      <c r="B31" s="220"/>
      <c r="C31" s="102"/>
      <c r="D31" s="148"/>
      <c r="E31" s="127"/>
      <c r="F31" s="179"/>
      <c r="G31" s="208"/>
      <c r="H31" s="164"/>
      <c r="I31" s="161"/>
      <c r="J31" s="145"/>
      <c r="K31" s="127"/>
      <c r="L31" s="165"/>
      <c r="M31" s="127"/>
      <c r="N31" s="165"/>
      <c r="O31" s="127"/>
      <c r="P31" s="165"/>
      <c r="Q31" s="127"/>
      <c r="R31" s="166"/>
      <c r="S31" s="167"/>
      <c r="T31" s="59"/>
      <c r="U31" s="39"/>
    </row>
    <row r="32" spans="1:21">
      <c r="A32" s="48"/>
      <c r="C32" s="188"/>
      <c r="D32" s="124"/>
      <c r="E32" s="127"/>
      <c r="F32" s="180"/>
      <c r="G32" s="185"/>
      <c r="H32" s="112"/>
      <c r="I32" s="34"/>
      <c r="J32" s="35"/>
      <c r="K32" s="51"/>
      <c r="L32" s="107"/>
      <c r="M32" s="51"/>
      <c r="N32" s="107"/>
      <c r="O32" s="51"/>
      <c r="P32" s="107"/>
      <c r="Q32" s="51"/>
      <c r="R32" s="52"/>
      <c r="S32" s="92"/>
      <c r="T32" s="59"/>
      <c r="U32" s="39"/>
    </row>
    <row r="33" spans="1:21" ht="12.75" customHeight="1">
      <c r="A33" s="40"/>
      <c r="B33" s="11"/>
      <c r="C33" s="105"/>
      <c r="D33" s="125"/>
      <c r="E33" s="128"/>
      <c r="F33" s="181"/>
      <c r="G33" s="186"/>
      <c r="H33" s="113"/>
      <c r="I33" s="40"/>
      <c r="J33" s="118"/>
      <c r="K33" s="54"/>
      <c r="L33" s="108"/>
      <c r="M33" s="54"/>
      <c r="N33" s="108"/>
      <c r="O33" s="54"/>
      <c r="P33" s="108"/>
      <c r="Q33" s="54"/>
      <c r="R33" s="55"/>
      <c r="S33" s="91"/>
      <c r="T33" s="89"/>
      <c r="U33" s="56"/>
    </row>
    <row r="34" spans="1:21">
      <c r="A34" s="34"/>
      <c r="C34" s="101"/>
      <c r="D34" s="129"/>
      <c r="E34" s="110"/>
      <c r="F34" s="182"/>
      <c r="G34" s="49"/>
      <c r="H34" s="112"/>
      <c r="I34" s="69"/>
      <c r="J34" s="35"/>
      <c r="K34" s="50"/>
      <c r="L34" s="107"/>
      <c r="M34" s="50"/>
      <c r="N34" s="109"/>
      <c r="O34" s="50"/>
      <c r="P34" s="107"/>
      <c r="Q34" s="51"/>
      <c r="R34" s="52"/>
      <c r="S34" s="93"/>
      <c r="T34" s="59"/>
      <c r="U34" s="39"/>
    </row>
    <row r="35" spans="1:21">
      <c r="A35" s="34"/>
      <c r="C35" s="101"/>
      <c r="D35" s="129" t="s">
        <v>37</v>
      </c>
      <c r="E35" s="110"/>
      <c r="F35" s="182"/>
      <c r="G35" s="49"/>
      <c r="H35" s="112"/>
      <c r="I35" s="69"/>
      <c r="J35" s="35"/>
      <c r="K35" s="50"/>
      <c r="L35" s="107"/>
      <c r="M35" s="50"/>
      <c r="N35" s="109"/>
      <c r="O35" s="50"/>
      <c r="P35" s="107"/>
      <c r="Q35" s="51"/>
      <c r="R35" s="52"/>
      <c r="S35" s="93"/>
      <c r="T35" s="59"/>
      <c r="U35" s="39"/>
    </row>
    <row r="36" spans="1:21">
      <c r="A36" s="34"/>
      <c r="C36" s="101"/>
      <c r="D36" s="129" t="s">
        <v>38</v>
      </c>
      <c r="E36" s="107"/>
      <c r="F36" s="182"/>
      <c r="G36" s="92"/>
      <c r="H36" s="112"/>
      <c r="I36" s="69"/>
      <c r="J36" s="35"/>
      <c r="K36" s="50"/>
      <c r="L36" s="109"/>
      <c r="M36" s="50"/>
      <c r="N36" s="109"/>
      <c r="O36" s="50"/>
      <c r="P36" s="107"/>
      <c r="Q36" s="51"/>
      <c r="R36" s="52"/>
      <c r="S36" s="93"/>
      <c r="T36" s="59"/>
      <c r="U36" s="39"/>
    </row>
    <row r="37" spans="1:21">
      <c r="A37" s="40"/>
      <c r="B37" s="11"/>
      <c r="C37" s="104"/>
      <c r="D37" s="63"/>
      <c r="E37" s="108"/>
      <c r="F37" s="183"/>
      <c r="G37" s="91"/>
      <c r="H37" s="72"/>
      <c r="I37" s="70"/>
      <c r="J37" s="118"/>
      <c r="K37" s="71"/>
      <c r="L37" s="120"/>
      <c r="M37" s="71"/>
      <c r="N37" s="120"/>
      <c r="O37" s="71"/>
      <c r="P37" s="108"/>
      <c r="Q37" s="54"/>
      <c r="R37" s="55"/>
      <c r="S37" s="94"/>
      <c r="T37" s="89"/>
      <c r="U37" s="15"/>
    </row>
    <row r="38" spans="1:21">
      <c r="A38" s="34"/>
      <c r="C38" s="101"/>
      <c r="D38" s="49"/>
      <c r="E38" s="107"/>
      <c r="F38" s="182"/>
      <c r="G38" s="92"/>
      <c r="H38" s="112"/>
      <c r="I38" s="69"/>
      <c r="J38" s="35"/>
      <c r="K38" s="50"/>
      <c r="L38" s="109"/>
      <c r="M38" s="50"/>
      <c r="N38" s="109"/>
      <c r="O38" s="50"/>
      <c r="P38" s="107"/>
      <c r="Q38" s="51"/>
      <c r="R38" s="52"/>
      <c r="S38" s="93"/>
      <c r="T38" s="59"/>
      <c r="U38" s="39"/>
    </row>
    <row r="39" spans="1:21">
      <c r="A39" s="34"/>
      <c r="C39" s="101"/>
      <c r="D39" s="49"/>
      <c r="E39" s="107"/>
      <c r="F39" s="182"/>
      <c r="G39" s="92"/>
      <c r="H39" s="112"/>
      <c r="I39" s="69"/>
      <c r="J39" s="35"/>
      <c r="K39" s="50"/>
      <c r="L39" s="109"/>
      <c r="M39" s="50"/>
      <c r="N39" s="109"/>
      <c r="O39" s="50"/>
      <c r="P39" s="107"/>
      <c r="Q39" s="51"/>
      <c r="R39" s="52"/>
      <c r="S39" s="93"/>
      <c r="T39" s="59"/>
      <c r="U39" s="39"/>
    </row>
    <row r="40" spans="1:21">
      <c r="A40" s="40"/>
      <c r="B40" s="14"/>
      <c r="C40" s="104"/>
      <c r="D40" s="63"/>
      <c r="E40" s="46"/>
      <c r="F40" s="108"/>
      <c r="G40" s="91"/>
      <c r="H40" s="55"/>
      <c r="I40" s="40"/>
      <c r="J40" s="118"/>
      <c r="K40" s="62"/>
      <c r="L40" s="46"/>
      <c r="M40" s="62"/>
      <c r="N40" s="46"/>
      <c r="O40" s="62"/>
      <c r="P40" s="108"/>
      <c r="Q40" s="54"/>
      <c r="R40" s="55"/>
      <c r="S40" s="91"/>
      <c r="T40" s="89"/>
      <c r="U40" s="15"/>
    </row>
    <row r="41" spans="1:21" ht="12.75" customHeight="1" thickBot="1">
      <c r="A41" s="24"/>
      <c r="B41" s="25"/>
      <c r="C41" s="106"/>
      <c r="D41" s="65"/>
      <c r="E41" s="111"/>
      <c r="F41" s="111"/>
      <c r="G41" s="187" t="s">
        <v>39</v>
      </c>
      <c r="H41" s="114"/>
      <c r="I41" s="66"/>
      <c r="J41" s="119"/>
      <c r="K41" s="67"/>
      <c r="L41" s="116"/>
      <c r="M41" s="67"/>
      <c r="N41" s="67"/>
      <c r="O41" s="67"/>
      <c r="P41" s="116"/>
      <c r="Q41" s="67"/>
      <c r="R41" s="68"/>
      <c r="S41" s="95"/>
      <c r="T41" s="61"/>
      <c r="U41" s="29"/>
    </row>
    <row r="42" spans="1:21">
      <c r="A42" s="58"/>
      <c r="I42" s="34"/>
      <c r="S42" s="59"/>
      <c r="T42" s="53"/>
      <c r="U42" s="39"/>
    </row>
    <row r="43" spans="1:21">
      <c r="A43" s="58"/>
      <c r="I43" s="34"/>
      <c r="J43" s="41" t="s">
        <v>40</v>
      </c>
      <c r="Q43" s="233" t="s">
        <v>41</v>
      </c>
      <c r="R43" s="234"/>
      <c r="S43" s="59">
        <f>SUM(S12:S40)</f>
        <v>1024</v>
      </c>
      <c r="T43" s="53"/>
      <c r="U43" s="53"/>
    </row>
    <row r="44" spans="1:21" ht="13.5" thickBot="1">
      <c r="A44" s="60"/>
      <c r="B44" s="25"/>
      <c r="C44" s="25"/>
      <c r="D44" s="25"/>
      <c r="E44" s="25"/>
      <c r="F44" s="25"/>
      <c r="G44" s="25"/>
      <c r="H44" s="25"/>
      <c r="I44" s="24"/>
      <c r="J44" s="25"/>
      <c r="K44" s="25"/>
      <c r="L44" s="25"/>
      <c r="M44" s="25"/>
      <c r="N44" s="25"/>
      <c r="O44" s="25"/>
      <c r="P44" s="25"/>
      <c r="Q44" s="25"/>
      <c r="R44" s="25"/>
      <c r="S44" s="61"/>
      <c r="T44" s="57"/>
      <c r="U44" s="29"/>
    </row>
    <row r="49" spans="4:4" ht="15">
      <c r="D49" s="126"/>
    </row>
    <row r="50" spans="4:4" ht="15">
      <c r="D50" s="126"/>
    </row>
  </sheetData>
  <mergeCells count="7">
    <mergeCell ref="A1:H2"/>
    <mergeCell ref="A3:H4"/>
    <mergeCell ref="Q43:R43"/>
    <mergeCell ref="A11:B11"/>
    <mergeCell ref="A10:C10"/>
    <mergeCell ref="D10:F10"/>
    <mergeCell ref="G10:H10"/>
  </mergeCells>
  <phoneticPr fontId="1" type="noConversion"/>
  <pageMargins left="0.39370078740157483" right="0.51181102362204722" top="1.1811023622047245" bottom="0.19685039370078741" header="0.15748031496062992" footer="0.15748031496062992"/>
  <pageSetup paperSize="9" scale="5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109375" defaultRowHeight="12.75"/>
  <sheetData/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109375" defaultRowHeight="12.75"/>
  <sheetData/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CA32C57554E48B339B2FFAB4CB17E" ma:contentTypeVersion="13" ma:contentTypeDescription="Een nieuw document maken." ma:contentTypeScope="" ma:versionID="73a055b9a445d0a106c6aece6d6664ee">
  <xsd:schema xmlns:xsd="http://www.w3.org/2001/XMLSchema" xmlns:xs="http://www.w3.org/2001/XMLSchema" xmlns:p="http://schemas.microsoft.com/office/2006/metadata/properties" xmlns:ns2="299089db-73e6-4866-84b4-7598bbcb8cfc" xmlns:ns3="dfd3eb0b-1764-44c1-8fcd-cdc22be9aafe" targetNamespace="http://schemas.microsoft.com/office/2006/metadata/properties" ma:root="true" ma:fieldsID="aa7b7926da6451f63150f690770e7552" ns2:_="" ns3:_="">
    <xsd:import namespace="299089db-73e6-4866-84b4-7598bbcb8cfc"/>
    <xsd:import namespace="dfd3eb0b-1764-44c1-8fcd-cdc22be9aa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089db-73e6-4866-84b4-7598bbcb8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e2e5befe-10e3-4702-b2c5-1fe3a91f28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3eb0b-1764-44c1-8fcd-cdc22be9aaf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b33e173-b26a-4574-a013-0a70bfead9e2}" ma:internalName="TaxCatchAll" ma:showField="CatchAllData" ma:web="dfd3eb0b-1764-44c1-8fcd-cdc22be9aa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9089db-73e6-4866-84b4-7598bbcb8cfc">
      <Terms xmlns="http://schemas.microsoft.com/office/infopath/2007/PartnerControls"/>
    </lcf76f155ced4ddcb4097134ff3c332f>
    <TaxCatchAll xmlns="dfd3eb0b-1764-44c1-8fcd-cdc22be9aafe" xsi:nil="true"/>
  </documentManagement>
</p:properties>
</file>

<file path=customXml/itemProps1.xml><?xml version="1.0" encoding="utf-8"?>
<ds:datastoreItem xmlns:ds="http://schemas.openxmlformats.org/officeDocument/2006/customXml" ds:itemID="{302CA25E-87FC-46E4-848E-6CB41B30FA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E512D7-C58A-4A1F-A082-AD0F8BFC8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9089db-73e6-4866-84b4-7598bbcb8cfc"/>
    <ds:schemaRef ds:uri="dfd3eb0b-1764-44c1-8fcd-cdc22be9a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E30E5C-5C3F-4923-9577-CE3E5BA6FE8A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299089db-73e6-4866-84b4-7598bbcb8cfc"/>
    <ds:schemaRef ds:uri="http://schemas.openxmlformats.org/package/2006/metadata/core-properties"/>
    <ds:schemaRef ds:uri="dfd3eb0b-1764-44c1-8fcd-cdc22be9aaf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Cox</dc:creator>
  <cp:keywords/>
  <dc:description/>
  <cp:lastModifiedBy>Yildiray Bulut</cp:lastModifiedBy>
  <cp:revision/>
  <cp:lastPrinted>2026-08-04T09:27:39Z</cp:lastPrinted>
  <dcterms:created xsi:type="dcterms:W3CDTF">2007-03-15T08:32:40Z</dcterms:created>
  <dcterms:modified xsi:type="dcterms:W3CDTF">2026-09-03T05:58:32Z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0x01010065ACA32C57554E48B339B2FFAB4CB17E</vt:lpwstr>
  </property>
  <property fmtid="{D5CDD505-2E9C-101B-9397-08002B2CF9AE}" pid="3" name="MediaServiceImageTags">
    <vt:lpwstr/>
  </property>
</Properties>
</file>